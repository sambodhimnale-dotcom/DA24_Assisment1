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ata Analytics\Assisment1\"/>
    </mc:Choice>
  </mc:AlternateContent>
  <xr:revisionPtr revIDLastSave="0" documentId="8_{03ABCD3A-8196-4D3E-9A08-BF5F3720831F}" xr6:coauthVersionLast="47" xr6:coauthVersionMax="47" xr10:uidLastSave="{00000000-0000-0000-0000-000000000000}"/>
  <bookViews>
    <workbookView xWindow="-103" yWindow="-103" windowWidth="22149" windowHeight="12189" xr2:uid="{D5F7D02A-B8DA-451E-A05A-5C95887D4D3C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12" i="1" l="1"/>
  <c r="H3" i="1"/>
  <c r="H4" i="1"/>
  <c r="H5" i="1"/>
  <c r="H6" i="1"/>
  <c r="H7" i="1"/>
  <c r="H8" i="1"/>
  <c r="H9" i="1"/>
  <c r="H10" i="1"/>
  <c r="H11" i="1"/>
  <c r="H2" i="1"/>
  <c r="G3" i="1"/>
  <c r="G4" i="1"/>
  <c r="G5" i="1"/>
  <c r="G6" i="1"/>
  <c r="G7" i="1"/>
  <c r="G8" i="1"/>
  <c r="G9" i="1"/>
  <c r="G10" i="1"/>
  <c r="G11" i="1"/>
  <c r="G2" i="1"/>
  <c r="I6" i="3" l="1"/>
  <c r="J6" i="3"/>
  <c r="K6" i="3"/>
  <c r="H6" i="3"/>
  <c r="K4" i="2"/>
  <c r="K5" i="2"/>
  <c r="K6" i="2"/>
  <c r="K7" i="2"/>
  <c r="K3" i="2"/>
</calcChain>
</file>

<file path=xl/sharedStrings.xml><?xml version="1.0" encoding="utf-8"?>
<sst xmlns="http://schemas.openxmlformats.org/spreadsheetml/2006/main" count="110" uniqueCount="54">
  <si>
    <t>Employee ID</t>
  </si>
  <si>
    <t>Employee Name</t>
  </si>
  <si>
    <t>Region</t>
  </si>
  <si>
    <t>Product ID</t>
  </si>
  <si>
    <t>Units Sold</t>
  </si>
  <si>
    <t>Sales Amount</t>
  </si>
  <si>
    <t>E101</t>
  </si>
  <si>
    <t>Rahul Mehta</t>
  </si>
  <si>
    <t>North</t>
  </si>
  <si>
    <t>P001</t>
  </si>
  <si>
    <t>E102</t>
  </si>
  <si>
    <t>Priya Sharma</t>
  </si>
  <si>
    <t>South</t>
  </si>
  <si>
    <t>P002</t>
  </si>
  <si>
    <t>E103</t>
  </si>
  <si>
    <t>Aman Verma</t>
  </si>
  <si>
    <t>East</t>
  </si>
  <si>
    <t>P003</t>
  </si>
  <si>
    <t>E104</t>
  </si>
  <si>
    <t>Sneha Patel</t>
  </si>
  <si>
    <t>West</t>
  </si>
  <si>
    <t>P004</t>
  </si>
  <si>
    <t>E105</t>
  </si>
  <si>
    <t>Rohan Gupta</t>
  </si>
  <si>
    <t>P005</t>
  </si>
  <si>
    <t>E106</t>
  </si>
  <si>
    <t>Meena Iyer</t>
  </si>
  <si>
    <t>E107</t>
  </si>
  <si>
    <t>Deepak Rao</t>
  </si>
  <si>
    <t>E108</t>
  </si>
  <si>
    <t>Kavita Das</t>
  </si>
  <si>
    <t>E109</t>
  </si>
  <si>
    <t>Ajay Nair</t>
  </si>
  <si>
    <t>E110</t>
  </si>
  <si>
    <t>Neha Kulkarni</t>
  </si>
  <si>
    <t>Product Name</t>
  </si>
  <si>
    <t>Category</t>
  </si>
  <si>
    <t>Price per Unit</t>
  </si>
  <si>
    <t>Laptop</t>
  </si>
  <si>
    <t>Electronics</t>
  </si>
  <si>
    <t>Smartphone</t>
  </si>
  <si>
    <t>Headphones</t>
  </si>
  <si>
    <t>Accessories</t>
  </si>
  <si>
    <t>Printer</t>
  </si>
  <si>
    <t>Office Supplies</t>
  </si>
  <si>
    <t>Monitor</t>
  </si>
  <si>
    <t>Target Sales</t>
  </si>
  <si>
    <t>Vlookup</t>
  </si>
  <si>
    <t>Hlookup</t>
  </si>
  <si>
    <t>Total sales values</t>
  </si>
  <si>
    <t>price per unit</t>
  </si>
  <si>
    <t>Total revenue</t>
  </si>
  <si>
    <t>Data validation</t>
  </si>
  <si>
    <t>Conditional formatting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</si>
</sst>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1" fillId="0" borderId="0" xfId="0" applyFont="1"/>
    <xf numFmtId="0" fontId="0" fillId="0" borderId="1" xfId="0" applyFill="1" applyBorder="1"/>
    <xf numFmtId="0" fontId="1" fillId="0" borderId="1" xfId="0" applyFont="1" applyFill="1" applyBorder="1"/>
    <xf numFmtId="0" fontId="1" fillId="0" borderId="1" xfId="0" applyFont="1" applyBorder="1"/>
  </cellXfs>
  <cellStyles count="1">
    <cellStyle name="Normal" xfId="0" builtinId="0"/>
  </cellStyles>
  <dxfs count="1"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4C8D3F-A3A1-4838-83AB-295B0E5925DB}">
  <dimension ref="A1:H12"/>
  <sheetViews>
    <sheetView tabSelected="1" workbookViewId="0">
      <selection activeCell="G12" sqref="G12"/>
    </sheetView>
  </sheetViews>
  <sheetFormatPr defaultRowHeight="14.15"/>
  <cols>
    <col min="2" max="2" width="14.42578125" bestFit="1" customWidth="1"/>
    <col min="6" max="6" width="12.140625" bestFit="1" customWidth="1"/>
    <col min="7" max="7" width="12.92578125" bestFit="1" customWidth="1"/>
    <col min="8" max="8" width="16.7109375" bestFit="1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4" t="s">
        <v>50</v>
      </c>
      <c r="H1" s="4" t="s">
        <v>49</v>
      </c>
    </row>
    <row r="2" spans="1:8">
      <c r="A2" s="1" t="s">
        <v>6</v>
      </c>
      <c r="B2" s="1" t="s">
        <v>7</v>
      </c>
      <c r="C2" s="1" t="s">
        <v>8</v>
      </c>
      <c r="D2" s="1" t="s">
        <v>9</v>
      </c>
      <c r="E2" s="1">
        <v>15</v>
      </c>
      <c r="F2" s="1">
        <v>45000</v>
      </c>
      <c r="G2" s="1">
        <f>F2/E2</f>
        <v>3000</v>
      </c>
      <c r="H2" s="1">
        <f>E2*G2</f>
        <v>45000</v>
      </c>
    </row>
    <row r="3" spans="1:8">
      <c r="A3" s="1" t="s">
        <v>10</v>
      </c>
      <c r="B3" s="1" t="s">
        <v>11</v>
      </c>
      <c r="C3" s="1" t="s">
        <v>12</v>
      </c>
      <c r="D3" s="1" t="s">
        <v>13</v>
      </c>
      <c r="E3" s="1">
        <v>20</v>
      </c>
      <c r="F3" s="1">
        <v>60000</v>
      </c>
      <c r="G3" s="1">
        <f t="shared" ref="G3:G11" si="0">F3/E3</f>
        <v>3000</v>
      </c>
      <c r="H3" s="1">
        <f>E3*G3</f>
        <v>60000</v>
      </c>
    </row>
    <row r="4" spans="1:8">
      <c r="A4" s="1" t="s">
        <v>14</v>
      </c>
      <c r="B4" s="1" t="s">
        <v>15</v>
      </c>
      <c r="C4" s="1" t="s">
        <v>16</v>
      </c>
      <c r="D4" s="1" t="s">
        <v>17</v>
      </c>
      <c r="E4" s="1">
        <v>10</v>
      </c>
      <c r="F4" s="1">
        <v>35000</v>
      </c>
      <c r="G4" s="1">
        <f t="shared" si="0"/>
        <v>3500</v>
      </c>
      <c r="H4" s="1">
        <f t="shared" ref="H3:H11" si="1">E4*G4</f>
        <v>35000</v>
      </c>
    </row>
    <row r="5" spans="1:8">
      <c r="A5" s="1" t="s">
        <v>18</v>
      </c>
      <c r="B5" s="1" t="s">
        <v>19</v>
      </c>
      <c r="C5" s="1" t="s">
        <v>20</v>
      </c>
      <c r="D5" s="1" t="s">
        <v>21</v>
      </c>
      <c r="E5" s="1">
        <v>25</v>
      </c>
      <c r="F5" s="1">
        <v>125000</v>
      </c>
      <c r="G5" s="1">
        <f t="shared" si="0"/>
        <v>5000</v>
      </c>
      <c r="H5" s="1">
        <f t="shared" si="1"/>
        <v>125000</v>
      </c>
    </row>
    <row r="6" spans="1:8">
      <c r="A6" s="1" t="s">
        <v>22</v>
      </c>
      <c r="B6" s="1" t="s">
        <v>23</v>
      </c>
      <c r="C6" s="1" t="s">
        <v>8</v>
      </c>
      <c r="D6" s="1" t="s">
        <v>24</v>
      </c>
      <c r="E6" s="1">
        <v>12</v>
      </c>
      <c r="F6" s="1">
        <v>48000</v>
      </c>
      <c r="G6" s="1">
        <f t="shared" si="0"/>
        <v>4000</v>
      </c>
      <c r="H6" s="1">
        <f t="shared" si="1"/>
        <v>48000</v>
      </c>
    </row>
    <row r="7" spans="1:8">
      <c r="A7" s="1" t="s">
        <v>25</v>
      </c>
      <c r="B7" s="1" t="s">
        <v>26</v>
      </c>
      <c r="C7" s="1" t="s">
        <v>16</v>
      </c>
      <c r="D7" s="1" t="s">
        <v>13</v>
      </c>
      <c r="E7" s="1">
        <v>18</v>
      </c>
      <c r="F7" s="1">
        <v>54000</v>
      </c>
      <c r="G7" s="1">
        <f t="shared" si="0"/>
        <v>3000</v>
      </c>
      <c r="H7" s="1">
        <f t="shared" si="1"/>
        <v>54000</v>
      </c>
    </row>
    <row r="8" spans="1:8">
      <c r="A8" s="1" t="s">
        <v>27</v>
      </c>
      <c r="B8" s="1" t="s">
        <v>28</v>
      </c>
      <c r="C8" s="1" t="s">
        <v>12</v>
      </c>
      <c r="D8" s="1" t="s">
        <v>17</v>
      </c>
      <c r="E8" s="1">
        <v>22</v>
      </c>
      <c r="F8" s="1">
        <v>77000</v>
      </c>
      <c r="G8" s="1">
        <f t="shared" si="0"/>
        <v>3500</v>
      </c>
      <c r="H8" s="1">
        <f t="shared" si="1"/>
        <v>77000</v>
      </c>
    </row>
    <row r="9" spans="1:8">
      <c r="A9" s="1" t="s">
        <v>29</v>
      </c>
      <c r="B9" s="1" t="s">
        <v>30</v>
      </c>
      <c r="C9" s="1" t="s">
        <v>20</v>
      </c>
      <c r="D9" s="1" t="s">
        <v>9</v>
      </c>
      <c r="E9" s="1">
        <v>30</v>
      </c>
      <c r="F9" s="1">
        <v>90000</v>
      </c>
      <c r="G9" s="1">
        <f t="shared" si="0"/>
        <v>3000</v>
      </c>
      <c r="H9" s="1">
        <f t="shared" si="1"/>
        <v>90000</v>
      </c>
    </row>
    <row r="10" spans="1:8">
      <c r="A10" s="1" t="s">
        <v>31</v>
      </c>
      <c r="B10" s="1" t="s">
        <v>32</v>
      </c>
      <c r="C10" s="1" t="s">
        <v>8</v>
      </c>
      <c r="D10" s="1" t="s">
        <v>21</v>
      </c>
      <c r="E10" s="1">
        <v>14</v>
      </c>
      <c r="F10" s="1">
        <v>70000</v>
      </c>
      <c r="G10" s="1">
        <f t="shared" si="0"/>
        <v>5000</v>
      </c>
      <c r="H10" s="1">
        <f t="shared" si="1"/>
        <v>70000</v>
      </c>
    </row>
    <row r="11" spans="1:8">
      <c r="A11" s="1" t="s">
        <v>33</v>
      </c>
      <c r="B11" s="1" t="s">
        <v>34</v>
      </c>
      <c r="C11" s="1" t="s">
        <v>16</v>
      </c>
      <c r="D11" s="1" t="s">
        <v>24</v>
      </c>
      <c r="E11" s="1">
        <v>8</v>
      </c>
      <c r="F11" s="1">
        <v>32000</v>
      </c>
      <c r="G11" s="1">
        <f t="shared" si="0"/>
        <v>4000</v>
      </c>
      <c r="H11" s="1">
        <f t="shared" si="1"/>
        <v>32000</v>
      </c>
    </row>
    <row r="12" spans="1:8">
      <c r="G12" s="5" t="s">
        <v>51</v>
      </c>
      <c r="H12" s="3">
        <f>SUM(H2:H11)</f>
        <v>636000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7A8EF0-185E-44C5-BAE7-7C7C31AA4D00}">
  <dimension ref="A1:K7"/>
  <sheetViews>
    <sheetView workbookViewId="0">
      <selection activeCell="F2" sqref="F2"/>
    </sheetView>
  </sheetViews>
  <sheetFormatPr defaultRowHeight="14.15"/>
  <cols>
    <col min="2" max="2" width="12.5703125" bestFit="1" customWidth="1"/>
    <col min="3" max="3" width="13.28515625" bestFit="1" customWidth="1"/>
    <col min="4" max="4" width="12" bestFit="1" customWidth="1"/>
    <col min="7" max="7" width="12.5703125" bestFit="1" customWidth="1"/>
    <col min="8" max="8" width="12" bestFit="1" customWidth="1"/>
    <col min="10" max="10" width="12.5703125" bestFit="1" customWidth="1"/>
    <col min="11" max="11" width="12" bestFit="1" customWidth="1"/>
  </cols>
  <sheetData>
    <row r="1" spans="1:11">
      <c r="A1" s="1" t="s">
        <v>3</v>
      </c>
      <c r="B1" s="1" t="s">
        <v>35</v>
      </c>
      <c r="C1" s="1" t="s">
        <v>36</v>
      </c>
      <c r="D1" s="1" t="s">
        <v>37</v>
      </c>
    </row>
    <row r="2" spans="1:11">
      <c r="A2" s="1" t="s">
        <v>9</v>
      </c>
      <c r="B2" s="1" t="s">
        <v>38</v>
      </c>
      <c r="C2" s="1" t="s">
        <v>39</v>
      </c>
      <c r="D2" s="1">
        <v>3000</v>
      </c>
      <c r="F2" s="2" t="s">
        <v>47</v>
      </c>
      <c r="G2" s="1" t="s">
        <v>35</v>
      </c>
      <c r="H2" s="1" t="s">
        <v>37</v>
      </c>
      <c r="J2" s="1" t="s">
        <v>35</v>
      </c>
      <c r="K2" s="1" t="s">
        <v>37</v>
      </c>
    </row>
    <row r="3" spans="1:11">
      <c r="A3" s="1" t="s">
        <v>13</v>
      </c>
      <c r="B3" s="1" t="s">
        <v>40</v>
      </c>
      <c r="C3" s="1" t="s">
        <v>39</v>
      </c>
      <c r="D3" s="1">
        <v>3000</v>
      </c>
      <c r="G3" s="1" t="s">
        <v>38</v>
      </c>
      <c r="H3" s="1">
        <v>3000</v>
      </c>
      <c r="J3" s="1" t="s">
        <v>38</v>
      </c>
      <c r="K3" s="1">
        <f>VLOOKUP(G3,G$2:H$7,2,FALSE)</f>
        <v>3000</v>
      </c>
    </row>
    <row r="4" spans="1:11">
      <c r="A4" s="1" t="s">
        <v>17</v>
      </c>
      <c r="B4" s="1" t="s">
        <v>41</v>
      </c>
      <c r="C4" s="1" t="s">
        <v>42</v>
      </c>
      <c r="D4" s="1">
        <v>3500</v>
      </c>
      <c r="G4" s="1" t="s">
        <v>40</v>
      </c>
      <c r="H4" s="1">
        <v>3000</v>
      </c>
      <c r="J4" s="1" t="s">
        <v>40</v>
      </c>
      <c r="K4" s="1">
        <f t="shared" ref="K4:K7" si="0">VLOOKUP(G4,G$2:H$7,2,FALSE)</f>
        <v>3000</v>
      </c>
    </row>
    <row r="5" spans="1:11">
      <c r="A5" s="1" t="s">
        <v>21</v>
      </c>
      <c r="B5" s="1" t="s">
        <v>43</v>
      </c>
      <c r="C5" s="1" t="s">
        <v>44</v>
      </c>
      <c r="D5" s="1">
        <v>5000</v>
      </c>
      <c r="G5" s="1" t="s">
        <v>41</v>
      </c>
      <c r="H5" s="1">
        <v>3500</v>
      </c>
      <c r="J5" s="1" t="s">
        <v>41</v>
      </c>
      <c r="K5" s="1">
        <f t="shared" si="0"/>
        <v>3500</v>
      </c>
    </row>
    <row r="6" spans="1:11">
      <c r="A6" s="1" t="s">
        <v>24</v>
      </c>
      <c r="B6" s="1" t="s">
        <v>45</v>
      </c>
      <c r="C6" s="1" t="s">
        <v>39</v>
      </c>
      <c r="D6" s="1">
        <v>4000</v>
      </c>
      <c r="G6" s="1" t="s">
        <v>43</v>
      </c>
      <c r="H6" s="1">
        <v>5000</v>
      </c>
      <c r="J6" s="1" t="s">
        <v>43</v>
      </c>
      <c r="K6" s="1">
        <f t="shared" si="0"/>
        <v>5000</v>
      </c>
    </row>
    <row r="7" spans="1:11">
      <c r="G7" s="1" t="s">
        <v>45</v>
      </c>
      <c r="H7" s="1">
        <v>4000</v>
      </c>
      <c r="J7" s="1" t="s">
        <v>45</v>
      </c>
      <c r="K7" s="1">
        <f t="shared" si="0"/>
        <v>4000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6C35C9-1298-492C-8D46-7D0B9990D189}">
  <dimension ref="A1:K14"/>
  <sheetViews>
    <sheetView workbookViewId="0">
      <selection activeCell="G18" sqref="G18"/>
    </sheetView>
  </sheetViews>
  <sheetFormatPr defaultRowHeight="14.15"/>
  <cols>
    <col min="1" max="1" width="11.2109375" bestFit="1" customWidth="1"/>
    <col min="6" max="6" width="21.28515625" bestFit="1" customWidth="1"/>
    <col min="7" max="7" width="11.2109375" bestFit="1" customWidth="1"/>
  </cols>
  <sheetData>
    <row r="1" spans="1:11">
      <c r="A1" s="1" t="s">
        <v>2</v>
      </c>
      <c r="B1" s="1" t="s">
        <v>8</v>
      </c>
      <c r="C1" s="1" t="s">
        <v>12</v>
      </c>
      <c r="D1" s="1" t="s">
        <v>16</v>
      </c>
      <c r="E1" s="1" t="s">
        <v>20</v>
      </c>
    </row>
    <row r="2" spans="1:11">
      <c r="A2" s="1" t="s">
        <v>46</v>
      </c>
      <c r="B2" s="1">
        <v>150000</v>
      </c>
      <c r="C2" s="1">
        <v>140000</v>
      </c>
      <c r="D2" s="1">
        <v>120000</v>
      </c>
      <c r="E2" s="1">
        <v>160000</v>
      </c>
    </row>
    <row r="3" spans="1:11">
      <c r="G3" s="2" t="s">
        <v>48</v>
      </c>
    </row>
    <row r="5" spans="1:11">
      <c r="G5" s="1" t="s">
        <v>2</v>
      </c>
      <c r="H5" s="1" t="s">
        <v>8</v>
      </c>
      <c r="I5" s="1" t="s">
        <v>12</v>
      </c>
      <c r="J5" s="1" t="s">
        <v>16</v>
      </c>
      <c r="K5" s="1" t="s">
        <v>20</v>
      </c>
    </row>
    <row r="6" spans="1:11">
      <c r="G6" s="1" t="s">
        <v>46</v>
      </c>
      <c r="H6" s="1">
        <f>HLOOKUP(H5,$A1:$E2,2,FALSE)</f>
        <v>150000</v>
      </c>
      <c r="I6" s="1">
        <f t="shared" ref="I6:K6" si="0">HLOOKUP(I5,$A1:$E2,2,FALSE)</f>
        <v>140000</v>
      </c>
      <c r="J6" s="1">
        <f t="shared" si="0"/>
        <v>120000</v>
      </c>
      <c r="K6" s="1">
        <f t="shared" si="0"/>
        <v>160000</v>
      </c>
    </row>
    <row r="9" spans="1:11">
      <c r="F9" s="2" t="s">
        <v>52</v>
      </c>
      <c r="G9" s="1" t="s">
        <v>2</v>
      </c>
      <c r="H9" s="1" t="s">
        <v>8</v>
      </c>
      <c r="I9" s="1" t="s">
        <v>12</v>
      </c>
      <c r="J9" s="1" t="s">
        <v>16</v>
      </c>
      <c r="K9" s="1" t="s">
        <v>20</v>
      </c>
    </row>
    <row r="10" spans="1:11">
      <c r="G10" s="1" t="s">
        <v>46</v>
      </c>
      <c r="H10" s="1">
        <v>150000</v>
      </c>
      <c r="I10" s="1">
        <v>140000</v>
      </c>
      <c r="J10" s="1">
        <v>120000</v>
      </c>
      <c r="K10" s="1">
        <v>160000</v>
      </c>
    </row>
    <row r="13" spans="1:11">
      <c r="F13" s="2" t="s">
        <v>53</v>
      </c>
      <c r="G13" s="1" t="s">
        <v>2</v>
      </c>
      <c r="H13" s="1" t="s">
        <v>8</v>
      </c>
      <c r="I13" s="1" t="s">
        <v>12</v>
      </c>
      <c r="J13" s="1" t="s">
        <v>16</v>
      </c>
      <c r="K13" s="1" t="s">
        <v>20</v>
      </c>
    </row>
    <row r="14" spans="1:11">
      <c r="G14" s="1" t="s">
        <v>46</v>
      </c>
      <c r="H14" s="1">
        <v>150000</v>
      </c>
      <c r="I14" s="1">
        <v>140000</v>
      </c>
      <c r="J14" s="1">
        <v>120000</v>
      </c>
      <c r="K14" s="1">
        <v>160000</v>
      </c>
    </row>
  </sheetData>
  <conditionalFormatting sqref="H14:K14">
    <cfRule type="cellIs" dxfId="0" priority="1" operator="lessThan">
      <formula>140000</formula>
    </cfRule>
  </conditionalFormatting>
  <dataValidations count="1">
    <dataValidation type="list" allowBlank="1" showInputMessage="1" showErrorMessage="1" sqref="G9" xr:uid="{BD9A2EBD-3C16-4F2C-A9B0-9B0E8EBC0AC4}">
      <formula1>$G$9:$K$9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Sambodhi Nale</dc:creator>
  <cp:lastModifiedBy>Sambodhi Nale</cp:lastModifiedBy>
  <dcterms:created xsi:type="dcterms:W3CDTF">2025-11-01T06:18:32Z</dcterms:created>
  <dcterms:modified xsi:type="dcterms:W3CDTF">2025-11-01T07:18:19Z</dcterms:modified>
</cp:coreProperties>
</file>